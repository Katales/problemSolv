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<sst xmlns="http://schemas.openxmlformats.org/spreadsheetml/2006/main" count="9" uniqueCount="9">
  <si>
    <t>N disks</t>
  </si>
  <si>
    <t>"2"</t>
  </si>
  <si>
    <t>"3"</t>
  </si>
  <si>
    <t>"4"</t>
  </si>
  <si>
    <t>"5"</t>
  </si>
  <si>
    <t xml:space="preserve">diskN &lt;= rodN </t>
  </si>
  <si>
    <t>diskN*2 - 1</t>
  </si>
  <si>
    <t>2 free rods</t>
  </si>
  <si>
    <t>2**diskN - 1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</si>
</sst>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D9D9D9"/>
        <bgColor rgb="FFD9D9D9"/>
      </patternFill>
    </fill>
  </fills>
  <borders count="8">
    <border/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left style="thin">
        <color rgb="FF000000"/>
      </left>
      <top style="medium">
        <color rgb="FF000000"/>
      </top>
    </border>
    <border>
      <top style="medium">
        <color rgb="FF000000"/>
      </top>
    </border>
    <border>
      <left style="medium">
        <color rgb="FF000000"/>
      </left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2" fillId="0" fontId="1" numFmtId="0" xfId="0" applyAlignment="1" applyBorder="1" applyFont="1">
      <alignment horizontal="center" readingOrder="0"/>
    </xf>
    <xf borderId="0" fillId="0" fontId="1" numFmtId="0" xfId="0" applyAlignment="1" applyFont="1">
      <alignment horizontal="center" readingOrder="0"/>
    </xf>
    <xf borderId="3" fillId="2" fontId="1" numFmtId="0" xfId="0" applyAlignment="1" applyBorder="1" applyFill="1" applyFont="1">
      <alignment horizontal="center" readingOrder="0"/>
    </xf>
    <xf borderId="4" fillId="2" fontId="1" numFmtId="0" xfId="0" applyAlignment="1" applyBorder="1" applyFill="1" applyFont="1">
      <alignment horizontal="center" readingOrder="0"/>
    </xf>
    <xf borderId="5" fillId="2" fontId="1" numFmtId="0" xfId="0" applyAlignment="1" applyBorder="1" applyFill="1" applyFont="1">
      <alignment horizontal="center" readingOrder="0"/>
    </xf>
    <xf borderId="5" fillId="2" fontId="1" numFmtId="0" xfId="0" applyAlignment="1" applyBorder="1" applyFill="1" applyFont="1">
      <alignment horizontal="center"/>
    </xf>
    <xf borderId="5" fillId="0" fontId="1" numFmtId="0" xfId="0" applyBorder="1" applyFont="1"/>
    <xf borderId="6" fillId="0" fontId="1" numFmtId="0" xfId="0" applyAlignment="1" applyBorder="1" applyFont="1">
      <alignment horizontal="center"/>
    </xf>
    <xf borderId="7" fillId="2" fontId="1" numFmtId="0" xfId="0" applyAlignment="1" applyBorder="1" applyFill="1" applyFont="1">
      <alignment horizontal="center"/>
    </xf>
    <xf borderId="0" fillId="2" fontId="1" numFmtId="0" xfId="0" applyAlignment="1" applyFill="1" applyFont="1">
      <alignment horizontal="center" readingOrder="0"/>
    </xf>
    <xf borderId="6" fillId="0" fontId="1" numFmtId="0" xfId="0" applyAlignment="1" applyBorder="1" applyFont="1">
      <alignment horizontal="center" readingOrder="0"/>
    </xf>
    <xf borderId="7" fillId="3" fontId="1" numFmtId="0" xfId="0" applyAlignment="1" applyBorder="1" applyFill="1" applyFont="1">
      <alignment horizontal="center" readingOrder="0"/>
    </xf>
    <xf borderId="0" fillId="2" fontId="1" numFmtId="0" xfId="0" applyAlignment="1" applyFill="1" applyFont="1">
      <alignment horizontal="center"/>
    </xf>
    <xf borderId="7" fillId="0" fontId="1" numFmtId="0" xfId="0" applyAlignment="1" applyBorder="1" applyFont="1">
      <alignment horizontal="center" readingOrder="0"/>
    </xf>
    <xf borderId="0" fillId="3" fontId="1" numFmtId="0" xfId="0" applyAlignment="1" applyFill="1" applyFont="1">
      <alignment horizontal="center" readingOrder="0"/>
    </xf>
    <xf borderId="0" fillId="3" fontId="1" numFmtId="0" xfId="0" applyAlignment="1" applyFill="1" applyFont="1">
      <alignment horizontal="center"/>
    </xf>
    <xf borderId="0" fillId="0" fontId="1" numFmtId="0" xfId="0" applyAlignment="1" applyFont="1">
      <alignment horizontal="center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</row>
    <row r="2">
      <c r="A2" s="2" t="s">
        <v>0</v>
      </c>
      <c r="B2" s="3"/>
      <c r="C2" s="3" t="s">
        <v>1</v>
      </c>
      <c r="D2" s="3" t="s">
        <v>2</v>
      </c>
      <c r="E2" s="3" t="s">
        <v>3</v>
      </c>
      <c r="F2" s="3" t="s">
        <v>4</v>
      </c>
    </row>
    <row r="3">
      <c r="A3" s="3">
        <v>1.0</v>
      </c>
      <c r="B3" s="4">
        <v>1.0</v>
      </c>
      <c r="C3" s="5">
        <v>1.0</v>
      </c>
      <c r="D3" s="6">
        <v>1.0</v>
      </c>
      <c r="E3" s="6">
        <f t="shared" ref="E3:F3" si="1">$A3*2 - 1</f>
        <v>1</v>
      </c>
      <c r="F3" s="7">
        <f t="shared" si="1"/>
        <v>1</v>
      </c>
      <c r="G3" s="8"/>
    </row>
    <row r="4">
      <c r="A4" s="3">
        <v>2.0</v>
      </c>
      <c r="B4" s="9"/>
      <c r="C4" s="10">
        <f t="shared" ref="C4:C22" si="3">$B$3 + C3*2</f>
        <v>3</v>
      </c>
      <c r="D4" s="11">
        <f t="shared" ref="D4:F4" si="2">C3 + D3*2</f>
        <v>3</v>
      </c>
      <c r="E4" s="11">
        <f t="shared" si="2"/>
        <v>3</v>
      </c>
      <c r="F4" s="11">
        <f t="shared" si="2"/>
        <v>3</v>
      </c>
    </row>
    <row r="5">
      <c r="A5" s="3">
        <v>3.0</v>
      </c>
      <c r="B5" s="12"/>
      <c r="C5" s="13">
        <f t="shared" si="3"/>
        <v>7</v>
      </c>
      <c r="D5" s="14">
        <f t="shared" ref="D5:F5" si="4">B3 + C3*2 + D3*2</f>
        <v>5</v>
      </c>
      <c r="E5" s="11">
        <f t="shared" si="4"/>
        <v>5</v>
      </c>
      <c r="F5" s="11">
        <f t="shared" si="4"/>
        <v>5</v>
      </c>
    </row>
    <row r="6">
      <c r="A6" s="3">
        <v>4.0</v>
      </c>
      <c r="B6" s="12"/>
      <c r="C6" s="15">
        <f t="shared" si="3"/>
        <v>15</v>
      </c>
      <c r="D6" s="16">
        <f>B3 + C3*2 + D4*2</f>
        <v>9</v>
      </c>
      <c r="E6" s="11">
        <f t="shared" ref="E6:F6" si="5">B3 + C3*2 + D3*2 + E3*2</f>
        <v>7</v>
      </c>
      <c r="F6" s="11">
        <f t="shared" si="5"/>
        <v>7</v>
      </c>
    </row>
    <row r="7">
      <c r="A7" s="3">
        <v>5.0</v>
      </c>
      <c r="B7" s="12"/>
      <c r="C7" s="15">
        <f t="shared" si="3"/>
        <v>31</v>
      </c>
      <c r="D7" s="16">
        <f>B3 + C3*2 + D5*2</f>
        <v>13</v>
      </c>
      <c r="E7" s="17">
        <f>B3 + C3*2 + D3*2 + E4*2</f>
        <v>11</v>
      </c>
      <c r="F7" s="11">
        <f>B3 + C3*2 + D3*2 + E3*2 + F3*2</f>
        <v>9</v>
      </c>
    </row>
    <row r="8">
      <c r="A8" s="3">
        <v>6.0</v>
      </c>
      <c r="B8" s="12"/>
      <c r="C8" s="15">
        <f t="shared" si="3"/>
        <v>63</v>
      </c>
      <c r="D8" s="16">
        <f>B3 + C4*2 + D5*2</f>
        <v>17</v>
      </c>
      <c r="E8" s="17">
        <f>B3 + C3*2 + D3*2 + E5*2</f>
        <v>15</v>
      </c>
      <c r="F8" s="17">
        <f>B3 + C3*2 + D3*2 + E3*2 + F4*2</f>
        <v>13</v>
      </c>
    </row>
    <row r="9">
      <c r="A9" s="3">
        <v>7.0</v>
      </c>
      <c r="B9" s="12"/>
      <c r="C9" s="15">
        <f t="shared" si="3"/>
        <v>127</v>
      </c>
      <c r="D9" s="3">
        <f>B3 + C4*2 + D6*2</f>
        <v>25</v>
      </c>
      <c r="E9" s="17">
        <f>B3 + C3*2 + D3*2 + E6*2</f>
        <v>19</v>
      </c>
      <c r="F9" s="17">
        <f>B3 + C3*2 + D3*2 + E3*2 + F5*2</f>
        <v>17</v>
      </c>
    </row>
    <row r="10">
      <c r="A10" s="3">
        <v>8.0</v>
      </c>
      <c r="B10" s="12"/>
      <c r="C10" s="15">
        <f t="shared" si="3"/>
        <v>255</v>
      </c>
      <c r="D10" s="3">
        <f>B3 + C4*2 + D7*2</f>
        <v>33</v>
      </c>
      <c r="E10" s="17">
        <f>B3 + C3*2 + D4*2 + E6*2</f>
        <v>23</v>
      </c>
      <c r="F10" s="17">
        <f>B3 + C3*2 + D3*2 + E3*2 + F6*2</f>
        <v>21</v>
      </c>
    </row>
    <row r="11">
      <c r="A11" s="3">
        <v>9.0</v>
      </c>
      <c r="B11" s="12"/>
      <c r="C11" s="15">
        <f t="shared" si="3"/>
        <v>511</v>
      </c>
      <c r="D11" s="3">
        <f>B3 + C4*2 + D8*2</f>
        <v>41</v>
      </c>
      <c r="E11" s="17">
        <f>B3 + C3*2 + D5*2 + E6*2</f>
        <v>27</v>
      </c>
      <c r="F11" s="17">
        <f>B3 + C3*2 + D3*2 + E3*2 + F7*2</f>
        <v>25</v>
      </c>
    </row>
    <row r="12">
      <c r="A12" s="3">
        <v>10.0</v>
      </c>
      <c r="B12" s="12"/>
      <c r="C12" s="15">
        <f t="shared" si="3"/>
        <v>1023</v>
      </c>
      <c r="D12" s="18">
        <f>B3 + C5*2 + D8*2</f>
        <v>49</v>
      </c>
      <c r="E12" s="16">
        <f>B3 + C4*2 + D5*2 + E6*2</f>
        <v>31</v>
      </c>
      <c r="F12" s="17">
        <f>B3 + C3*2 + D3*2 + E4*2 + F7*2</f>
        <v>29</v>
      </c>
    </row>
    <row r="13">
      <c r="A13" s="3">
        <v>11.0</v>
      </c>
      <c r="B13" s="12"/>
      <c r="C13" s="15">
        <f t="shared" si="3"/>
        <v>2047</v>
      </c>
      <c r="D13" s="18">
        <f>B3 + C5*2 + D9*2</f>
        <v>65</v>
      </c>
      <c r="E13" s="18">
        <f>B3 + C4*2 + D5*2 + E7*2</f>
        <v>39</v>
      </c>
      <c r="F13" s="17">
        <f>B3 + C3*2 + D3*2 + E5*2 + F7*2</f>
        <v>33</v>
      </c>
    </row>
    <row r="14">
      <c r="A14" s="3">
        <v>12.0</v>
      </c>
      <c r="B14" s="12"/>
      <c r="C14" s="15">
        <f t="shared" si="3"/>
        <v>4095</v>
      </c>
      <c r="D14" s="18">
        <f>B3 + C5*2 + D10*2</f>
        <v>81</v>
      </c>
      <c r="E14" s="18">
        <f>B3 + C4*2 + D5*2 + E8*2</f>
        <v>47</v>
      </c>
      <c r="F14" s="17">
        <f>B3 + C3*2 + D3*2 + E6*2 + F7*2</f>
        <v>37</v>
      </c>
    </row>
    <row r="15">
      <c r="A15" s="3">
        <v>13.0</v>
      </c>
      <c r="B15" s="12"/>
      <c r="C15" s="15">
        <f t="shared" si="3"/>
        <v>8191</v>
      </c>
      <c r="D15" s="18">
        <f>B3 + C5*2 + D11*2</f>
        <v>97</v>
      </c>
      <c r="E15" s="18">
        <f>B3 + C4*2 + D5*2 + E9*2</f>
        <v>55</v>
      </c>
      <c r="F15" s="17">
        <f>B3 + C3*2 + D4*2 + E6*2 + F7*2</f>
        <v>41</v>
      </c>
    </row>
    <row r="16">
      <c r="A16" s="3">
        <v>14.0</v>
      </c>
      <c r="B16" s="12"/>
      <c r="C16" s="15">
        <f t="shared" si="3"/>
        <v>16383</v>
      </c>
      <c r="D16" s="18">
        <f>B3 + C5*2 + D12*2</f>
        <v>113</v>
      </c>
      <c r="E16" s="18">
        <f>B3 + C4*2 + D5*2 + E10*2</f>
        <v>63</v>
      </c>
      <c r="F16" s="17">
        <f>B3 + C3*2 + D5*2 + E6*2 + F7*2</f>
        <v>45</v>
      </c>
    </row>
    <row r="17">
      <c r="A17" s="3">
        <v>15.0</v>
      </c>
      <c r="B17" s="12"/>
      <c r="C17" s="15">
        <f t="shared" si="3"/>
        <v>32767</v>
      </c>
      <c r="D17" s="18">
        <f>B3 + C6*2 + D12*2</f>
        <v>129</v>
      </c>
      <c r="E17" s="18">
        <f>B3 + C4*2 + D5*2 + E11*2</f>
        <v>71</v>
      </c>
      <c r="F17" s="17">
        <f>B3 + C4*2 + D5*2 + E6*2 + F7*2</f>
        <v>49</v>
      </c>
    </row>
    <row r="18">
      <c r="A18" s="3">
        <v>16.0</v>
      </c>
      <c r="B18" s="12"/>
      <c r="C18" s="15">
        <f t="shared" si="3"/>
        <v>65535</v>
      </c>
      <c r="D18" s="18">
        <f>B3 + C6*2 + D13*2</f>
        <v>161</v>
      </c>
      <c r="E18" s="18">
        <f>B3 + C4*2 + D5*2 + E12*2</f>
        <v>79</v>
      </c>
      <c r="F18" s="18">
        <f>B3 + C4*2 + D5*2 + E6*2 + F8*2</f>
        <v>57</v>
      </c>
    </row>
    <row r="19">
      <c r="A19" s="3">
        <v>17.0</v>
      </c>
      <c r="B19" s="12"/>
      <c r="C19" s="15">
        <f t="shared" si="3"/>
        <v>131071</v>
      </c>
      <c r="D19" s="18">
        <f>B3 + C6*2 + D14*2</f>
        <v>193</v>
      </c>
      <c r="E19" s="18">
        <f>B3 + C4*2 + D6*2 + E12*2</f>
        <v>87</v>
      </c>
      <c r="F19" s="18">
        <f>B3 + C4*2 + D5*2 + E6*2 + F9*2</f>
        <v>65</v>
      </c>
    </row>
    <row r="20">
      <c r="A20" s="3">
        <v>18.0</v>
      </c>
      <c r="B20" s="12"/>
      <c r="C20" s="15">
        <f t="shared" si="3"/>
        <v>262143</v>
      </c>
      <c r="D20" s="18">
        <f>B3 + C6*2 + D15*2</f>
        <v>225</v>
      </c>
      <c r="E20" s="18">
        <f>B3 + C4*2 + D7*2 + E12*2</f>
        <v>95</v>
      </c>
      <c r="F20" s="18">
        <f>B3 + C4*2 + D5*2 + E6*2 + F10*2</f>
        <v>73</v>
      </c>
    </row>
    <row r="21">
      <c r="A21" s="3">
        <v>19.0</v>
      </c>
      <c r="B21" s="12"/>
      <c r="C21" s="15">
        <f t="shared" si="3"/>
        <v>524287</v>
      </c>
      <c r="D21" s="18">
        <f>B3 + C6*2 + D16*2</f>
        <v>257</v>
      </c>
      <c r="E21" s="18">
        <f>B3 + C4*2 + D8*2 + E12*2</f>
        <v>103</v>
      </c>
      <c r="F21" s="18">
        <f>B3 + C4*2 + D5*2 + E6*2 + F11*2</f>
        <v>81</v>
      </c>
    </row>
    <row r="22">
      <c r="A22" s="3">
        <v>20.0</v>
      </c>
      <c r="B22" s="12"/>
      <c r="C22" s="15">
        <f t="shared" si="3"/>
        <v>1048575</v>
      </c>
      <c r="D22" s="18">
        <f>B3 + C6*2 + D17*2</f>
        <v>289</v>
      </c>
      <c r="E22" s="18">
        <f>B3 + C5*2 + D8*2 + E12*2</f>
        <v>111</v>
      </c>
      <c r="F22" s="18">
        <f>B3 + C4*2 + D5*2 + E6*2 + F12*2</f>
        <v>89</v>
      </c>
      <c r="H22" s="18"/>
    </row>
    <row r="27">
      <c r="C27" s="19" t="s">
        <v>5</v>
      </c>
      <c r="D27" s="19" t="s">
        <v>6</v>
      </c>
    </row>
    <row r="28">
      <c r="B28" s="19"/>
      <c r="C28" s="19" t="s">
        <v>7</v>
      </c>
      <c r="D28" s="19" t="s">
        <v>8</v>
      </c>
    </row>
  </sheetData>
  <drawing r:id="rId1"/>
</worksheet>
</file>